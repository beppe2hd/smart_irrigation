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PycharmProjects/PureCircle/data/"/>
    </mc:Choice>
  </mc:AlternateContent>
  <xr:revisionPtr revIDLastSave="0" documentId="13_ncr:1_{8BF9B627-FAFF-6548-A8F9-63EB1ADB5F57}" xr6:coauthVersionLast="47" xr6:coauthVersionMax="47" xr10:uidLastSave="{00000000-0000-0000-0000-000000000000}"/>
  <bookViews>
    <workbookView xWindow="5000" yWindow="820" windowWidth="27060" windowHeight="24400" activeTab="1" xr2:uid="{F90B59A2-B7F1-4445-8FE7-7CE10FF6114C}"/>
  </bookViews>
  <sheets>
    <sheet name="Initial Irrigation" sheetId="2" r:id="rId1"/>
    <sheet name="Irrigation" sheetId="1" r:id="rId2"/>
  </sheets>
  <definedNames>
    <definedName name="_xlnm._FilterDatabase" localSheetId="1" hidden="1">Irrigation!$A$1:$E$1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F23" i="2" s="1"/>
  <c r="D19" i="2"/>
  <c r="F19" i="2" s="1"/>
  <c r="D15" i="2"/>
  <c r="F15" i="2" s="1"/>
  <c r="D11" i="2"/>
  <c r="F11" i="2" s="1"/>
  <c r="D7" i="2"/>
  <c r="F7" i="2" s="1"/>
  <c r="H3" i="2"/>
  <c r="D21" i="2" s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21" i="2" l="1"/>
  <c r="F21" i="2"/>
  <c r="E7" i="2"/>
  <c r="E11" i="2"/>
  <c r="E15" i="2"/>
  <c r="E19" i="2"/>
  <c r="D5" i="2"/>
  <c r="D9" i="2"/>
  <c r="D13" i="2"/>
  <c r="D17" i="2"/>
  <c r="E23" i="2"/>
  <c r="E17" i="2" l="1"/>
  <c r="F17" i="2"/>
  <c r="E13" i="2"/>
  <c r="F13" i="2"/>
  <c r="E9" i="2"/>
  <c r="F9" i="2"/>
  <c r="F5" i="2"/>
  <c r="E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Heintze</author>
  </authors>
  <commentList>
    <comment ref="A1" authorId="0" shapeId="0" xr:uid="{E53826A0-842D-4C8A-87F1-72192F8EAE63}">
      <text>
        <r>
          <rPr>
            <b/>
            <sz val="9"/>
            <color indexed="81"/>
            <rFont val="Tahoma"/>
            <family val="2"/>
          </rPr>
          <t>Sebastian Heintze:</t>
        </r>
        <r>
          <rPr>
            <sz val="9"/>
            <color indexed="81"/>
            <rFont val="Tahoma"/>
            <family val="2"/>
          </rPr>
          <t xml:space="preserve">
Until the 22.02.25 all plots were irrigatied equal to allow good germination and crop establishment</t>
        </r>
      </text>
    </comment>
  </commentList>
</comments>
</file>

<file path=xl/sharedStrings.xml><?xml version="1.0" encoding="utf-8"?>
<sst xmlns="http://schemas.openxmlformats.org/spreadsheetml/2006/main" count="44" uniqueCount="27">
  <si>
    <t>Date</t>
  </si>
  <si>
    <t>Plot</t>
  </si>
  <si>
    <t>Duration</t>
  </si>
  <si>
    <t>Irrigation Volume</t>
  </si>
  <si>
    <t>CROPWAT</t>
  </si>
  <si>
    <t>Farmer</t>
  </si>
  <si>
    <t>Soil Mositure before irrigation (only Sensor)</t>
  </si>
  <si>
    <t>Irrigation Duration</t>
  </si>
  <si>
    <t>[min]</t>
  </si>
  <si>
    <t>Irrigation Start phase</t>
  </si>
  <si>
    <t>dripper / plot</t>
  </si>
  <si>
    <t>Comment</t>
  </si>
  <si>
    <t>Irrigation volume</t>
  </si>
  <si>
    <t>dripper / m2</t>
  </si>
  <si>
    <t>L / h</t>
  </si>
  <si>
    <t>drip rate</t>
  </si>
  <si>
    <t>[L/m2]</t>
  </si>
  <si>
    <t>[total plot]</t>
  </si>
  <si>
    <t>25.12.</t>
  </si>
  <si>
    <t>08.01.</t>
  </si>
  <si>
    <t>13.01.</t>
  </si>
  <si>
    <t>29.01.</t>
  </si>
  <si>
    <t xml:space="preserve">06.02. </t>
  </si>
  <si>
    <t>pricking</t>
  </si>
  <si>
    <t>10.02.</t>
  </si>
  <si>
    <t>13.02.</t>
  </si>
  <si>
    <t>Start different irrgiation managements: 22.02.25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</si>
</sst>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0" fillId="0" borderId="6" xfId="0" applyBorder="1"/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22E3-EAEC-405C-8890-9E37437D0DC7}">
  <dimension ref="A1:J26"/>
  <sheetViews>
    <sheetView zoomScale="66" workbookViewId="0">
      <selection activeCell="J16" sqref="J16"/>
    </sheetView>
  </sheetViews>
  <sheetFormatPr baseColWidth="10" defaultColWidth="8.83203125" defaultRowHeight="15" x14ac:dyDescent="0.2"/>
  <cols>
    <col min="1" max="1" width="32.33203125" customWidth="1"/>
  </cols>
  <sheetData>
    <row r="1" spans="1:10" x14ac:dyDescent="0.2">
      <c r="A1" s="5" t="s">
        <v>9</v>
      </c>
      <c r="B1" s="2"/>
      <c r="C1" s="2"/>
      <c r="D1" s="2"/>
      <c r="E1" s="2"/>
      <c r="F1" s="2"/>
      <c r="H1" s="6">
        <v>160</v>
      </c>
      <c r="I1" s="7" t="s">
        <v>10</v>
      </c>
      <c r="J1" s="8"/>
    </row>
    <row r="2" spans="1:10" x14ac:dyDescent="0.2">
      <c r="A2" s="9" t="s">
        <v>0</v>
      </c>
      <c r="B2" s="9" t="s">
        <v>2</v>
      </c>
      <c r="C2" s="9" t="s">
        <v>11</v>
      </c>
      <c r="D2" s="10"/>
      <c r="E2" s="26" t="s">
        <v>12</v>
      </c>
      <c r="F2" s="26"/>
      <c r="H2" s="11">
        <v>18.829999999999998</v>
      </c>
      <c r="I2" s="12" t="s">
        <v>13</v>
      </c>
      <c r="J2" s="13"/>
    </row>
    <row r="3" spans="1:10" ht="16" thickBot="1" x14ac:dyDescent="0.25">
      <c r="A3" s="14"/>
      <c r="B3" s="14" t="s">
        <v>8</v>
      </c>
      <c r="C3" s="14"/>
      <c r="D3" s="14"/>
      <c r="E3" s="15"/>
      <c r="F3" s="15"/>
      <c r="H3" s="16">
        <f>2/60</f>
        <v>3.3333333333333333E-2</v>
      </c>
      <c r="I3" s="17" t="s">
        <v>14</v>
      </c>
      <c r="J3" s="18" t="s">
        <v>15</v>
      </c>
    </row>
    <row r="4" spans="1:10" x14ac:dyDescent="0.2">
      <c r="A4" s="3"/>
      <c r="B4" s="3"/>
      <c r="C4" s="3"/>
      <c r="D4" s="3"/>
      <c r="E4" s="19" t="s">
        <v>16</v>
      </c>
      <c r="F4" s="19" t="s">
        <v>17</v>
      </c>
    </row>
    <row r="5" spans="1:10" x14ac:dyDescent="0.2">
      <c r="A5" s="3">
        <v>17.12</v>
      </c>
      <c r="B5" s="20">
        <v>40</v>
      </c>
      <c r="C5" s="3"/>
      <c r="D5" s="21">
        <f>B5*H$3</f>
        <v>1.3333333333333333</v>
      </c>
      <c r="E5" s="22">
        <f>D5*H$2</f>
        <v>25.106666666666662</v>
      </c>
      <c r="F5" s="22">
        <f>D5*H$1</f>
        <v>213.33333333333331</v>
      </c>
    </row>
    <row r="6" spans="1:10" x14ac:dyDescent="0.2">
      <c r="A6" s="3"/>
      <c r="B6" s="20"/>
      <c r="C6" s="3"/>
      <c r="D6" s="21"/>
      <c r="E6" s="22"/>
      <c r="F6" s="22"/>
    </row>
    <row r="7" spans="1:10" x14ac:dyDescent="0.2">
      <c r="A7" s="3">
        <v>19.12</v>
      </c>
      <c r="B7" s="20">
        <v>20</v>
      </c>
      <c r="C7" s="3"/>
      <c r="D7" s="21">
        <f t="shared" ref="D7:D23" si="0">B7*H$3</f>
        <v>0.66666666666666663</v>
      </c>
      <c r="E7" s="22">
        <f t="shared" ref="E7:E23" si="1">D7*H$2</f>
        <v>12.553333333333331</v>
      </c>
      <c r="F7" s="22">
        <f t="shared" ref="F7:F23" si="2">D7*H$1</f>
        <v>106.66666666666666</v>
      </c>
    </row>
    <row r="8" spans="1:10" x14ac:dyDescent="0.2">
      <c r="A8" s="3"/>
      <c r="B8" s="20"/>
      <c r="C8" s="3"/>
      <c r="D8" s="21"/>
      <c r="E8" s="22"/>
      <c r="F8" s="22"/>
    </row>
    <row r="9" spans="1:10" x14ac:dyDescent="0.2">
      <c r="A9" s="3" t="s">
        <v>18</v>
      </c>
      <c r="B9" s="20">
        <v>45</v>
      </c>
      <c r="C9" s="3"/>
      <c r="D9" s="21">
        <f t="shared" si="0"/>
        <v>1.5</v>
      </c>
      <c r="E9" s="22">
        <f t="shared" si="1"/>
        <v>28.244999999999997</v>
      </c>
      <c r="F9" s="22">
        <f t="shared" si="2"/>
        <v>240</v>
      </c>
    </row>
    <row r="10" spans="1:10" x14ac:dyDescent="0.2">
      <c r="A10" s="3"/>
      <c r="B10" s="20"/>
      <c r="C10" s="3"/>
      <c r="D10" s="21"/>
      <c r="E10" s="22"/>
      <c r="F10" s="22"/>
    </row>
    <row r="11" spans="1:10" x14ac:dyDescent="0.2">
      <c r="A11" s="3">
        <v>31.12</v>
      </c>
      <c r="B11" s="20">
        <v>20</v>
      </c>
      <c r="C11" s="3"/>
      <c r="D11" s="21">
        <f t="shared" si="0"/>
        <v>0.66666666666666663</v>
      </c>
      <c r="E11" s="22">
        <f t="shared" si="1"/>
        <v>12.553333333333331</v>
      </c>
      <c r="F11" s="22">
        <f t="shared" si="2"/>
        <v>106.66666666666666</v>
      </c>
    </row>
    <row r="12" spans="1:10" x14ac:dyDescent="0.2">
      <c r="A12" s="3"/>
      <c r="B12" s="20"/>
      <c r="C12" s="3"/>
      <c r="D12" s="21"/>
      <c r="E12" s="22"/>
      <c r="F12" s="22"/>
    </row>
    <row r="13" spans="1:10" x14ac:dyDescent="0.2">
      <c r="A13" s="3" t="s">
        <v>19</v>
      </c>
      <c r="B13" s="20">
        <v>20</v>
      </c>
      <c r="C13" s="3"/>
      <c r="D13" s="21">
        <f t="shared" si="0"/>
        <v>0.66666666666666663</v>
      </c>
      <c r="E13" s="22">
        <f t="shared" si="1"/>
        <v>12.553333333333331</v>
      </c>
      <c r="F13" s="22">
        <f t="shared" si="2"/>
        <v>106.66666666666666</v>
      </c>
    </row>
    <row r="14" spans="1:10" x14ac:dyDescent="0.2">
      <c r="A14" s="3"/>
      <c r="B14" s="20"/>
      <c r="C14" s="3"/>
      <c r="D14" s="21"/>
      <c r="E14" s="22"/>
      <c r="F14" s="22"/>
    </row>
    <row r="15" spans="1:10" x14ac:dyDescent="0.2">
      <c r="A15" s="3" t="s">
        <v>20</v>
      </c>
      <c r="B15" s="20">
        <v>20</v>
      </c>
      <c r="C15" s="3"/>
      <c r="D15" s="21">
        <f t="shared" si="0"/>
        <v>0.66666666666666663</v>
      </c>
      <c r="E15" s="22">
        <f t="shared" si="1"/>
        <v>12.553333333333331</v>
      </c>
      <c r="F15" s="22">
        <f t="shared" si="2"/>
        <v>106.66666666666666</v>
      </c>
    </row>
    <row r="16" spans="1:10" x14ac:dyDescent="0.2">
      <c r="A16" s="3"/>
      <c r="B16" s="20"/>
      <c r="C16" s="3"/>
      <c r="D16" s="21"/>
      <c r="E16" s="22"/>
      <c r="F16" s="22"/>
    </row>
    <row r="17" spans="1:6" x14ac:dyDescent="0.2">
      <c r="A17" s="3" t="s">
        <v>21</v>
      </c>
      <c r="B17" s="20">
        <v>40</v>
      </c>
      <c r="C17" s="3"/>
      <c r="D17" s="21">
        <f t="shared" si="0"/>
        <v>1.3333333333333333</v>
      </c>
      <c r="E17" s="22">
        <f t="shared" si="1"/>
        <v>25.106666666666662</v>
      </c>
      <c r="F17" s="22">
        <f t="shared" si="2"/>
        <v>213.33333333333331</v>
      </c>
    </row>
    <row r="18" spans="1:6" x14ac:dyDescent="0.2">
      <c r="A18" s="3"/>
      <c r="B18" s="20"/>
      <c r="C18" s="3"/>
      <c r="D18" s="21"/>
      <c r="E18" s="22"/>
      <c r="F18" s="22"/>
    </row>
    <row r="19" spans="1:6" x14ac:dyDescent="0.2">
      <c r="A19" s="3" t="s">
        <v>22</v>
      </c>
      <c r="B19" s="20">
        <v>20</v>
      </c>
      <c r="C19" s="3" t="s">
        <v>23</v>
      </c>
      <c r="D19" s="21">
        <f t="shared" si="0"/>
        <v>0.66666666666666663</v>
      </c>
      <c r="E19" s="22">
        <f t="shared" si="1"/>
        <v>12.553333333333331</v>
      </c>
      <c r="F19" s="22">
        <f t="shared" si="2"/>
        <v>106.66666666666666</v>
      </c>
    </row>
    <row r="20" spans="1:6" x14ac:dyDescent="0.2">
      <c r="A20" s="3"/>
      <c r="B20" s="20"/>
      <c r="C20" s="3"/>
      <c r="D20" s="21"/>
      <c r="E20" s="22"/>
      <c r="F20" s="22"/>
    </row>
    <row r="21" spans="1:6" x14ac:dyDescent="0.2">
      <c r="A21" s="3" t="s">
        <v>24</v>
      </c>
      <c r="B21" s="20">
        <v>20</v>
      </c>
      <c r="C21" s="3" t="s">
        <v>23</v>
      </c>
      <c r="D21" s="21">
        <f t="shared" si="0"/>
        <v>0.66666666666666663</v>
      </c>
      <c r="E21" s="22">
        <f t="shared" si="1"/>
        <v>12.553333333333331</v>
      </c>
      <c r="F21" s="22">
        <f t="shared" si="2"/>
        <v>106.66666666666666</v>
      </c>
    </row>
    <row r="22" spans="1:6" x14ac:dyDescent="0.2">
      <c r="A22" s="3"/>
      <c r="B22" s="20"/>
      <c r="C22" s="3"/>
      <c r="D22" s="21"/>
      <c r="E22" s="22"/>
      <c r="F22" s="22"/>
    </row>
    <row r="23" spans="1:6" x14ac:dyDescent="0.2">
      <c r="A23" s="14" t="s">
        <v>25</v>
      </c>
      <c r="B23" s="23">
        <v>20</v>
      </c>
      <c r="C23" s="14" t="s">
        <v>23</v>
      </c>
      <c r="D23" s="24">
        <f t="shared" si="0"/>
        <v>0.66666666666666663</v>
      </c>
      <c r="E23" s="25">
        <f t="shared" si="1"/>
        <v>12.553333333333331</v>
      </c>
      <c r="F23" s="25">
        <f t="shared" si="2"/>
        <v>106.66666666666666</v>
      </c>
    </row>
    <row r="24" spans="1:6" x14ac:dyDescent="0.2">
      <c r="A24" s="2"/>
    </row>
    <row r="26" spans="1:6" x14ac:dyDescent="0.2">
      <c r="A26" s="12" t="s">
        <v>26</v>
      </c>
      <c r="B26" s="12"/>
      <c r="C26" s="12"/>
      <c r="D26" s="12"/>
    </row>
  </sheetData>
  <mergeCells count="1">
    <mergeCell ref="E2:F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6AC2-97DE-4377-B165-E374984B2B3F}">
  <dimension ref="A1:E59"/>
  <sheetViews>
    <sheetView tabSelected="1" zoomScale="188" zoomScaleNormal="188" workbookViewId="0">
      <selection activeCell="B1" sqref="B1:B1048576"/>
    </sheetView>
  </sheetViews>
  <sheetFormatPr baseColWidth="10" defaultColWidth="8.83203125" defaultRowHeight="15" x14ac:dyDescent="0.2"/>
  <cols>
    <col min="1" max="1" width="28.33203125" style="2" bestFit="1" customWidth="1"/>
    <col min="2" max="2" width="12" style="2" bestFit="1" customWidth="1"/>
    <col min="3" max="3" width="37.33203125" style="2" bestFit="1" customWidth="1"/>
    <col min="4" max="4" width="16.1640625" style="2" bestFit="1" customWidth="1"/>
    <col min="5" max="5" width="15.33203125" style="2" bestFit="1" customWidth="1"/>
  </cols>
  <sheetData>
    <row r="1" spans="1:5" x14ac:dyDescent="0.2">
      <c r="A1" s="2" t="s">
        <v>0</v>
      </c>
      <c r="B1" s="2" t="s">
        <v>1</v>
      </c>
      <c r="C1" s="2" t="s">
        <v>6</v>
      </c>
      <c r="D1" s="2" t="s">
        <v>7</v>
      </c>
      <c r="E1" s="2" t="s">
        <v>3</v>
      </c>
    </row>
    <row r="2" spans="1:5" x14ac:dyDescent="0.2">
      <c r="A2" s="1">
        <v>45710</v>
      </c>
      <c r="B2" s="2" t="s">
        <v>4</v>
      </c>
      <c r="D2" s="2">
        <v>29</v>
      </c>
      <c r="E2" s="2">
        <v>18.5</v>
      </c>
    </row>
    <row r="3" spans="1:5" x14ac:dyDescent="0.2">
      <c r="A3" s="1">
        <v>45721</v>
      </c>
      <c r="B3" s="2" t="s">
        <v>4</v>
      </c>
      <c r="D3" s="2">
        <v>32</v>
      </c>
      <c r="E3" s="2">
        <v>20</v>
      </c>
    </row>
    <row r="4" spans="1:5" x14ac:dyDescent="0.2">
      <c r="A4" s="1">
        <v>45726</v>
      </c>
      <c r="B4" s="2" t="s">
        <v>4</v>
      </c>
      <c r="D4" s="2">
        <v>30</v>
      </c>
      <c r="E4" s="2">
        <v>19.100000000000001</v>
      </c>
    </row>
    <row r="5" spans="1:5" x14ac:dyDescent="0.2">
      <c r="A5" s="1">
        <v>45736</v>
      </c>
      <c r="B5" s="2" t="s">
        <v>4</v>
      </c>
      <c r="D5" s="2">
        <v>34</v>
      </c>
      <c r="E5" s="2">
        <v>21.2</v>
      </c>
    </row>
    <row r="6" spans="1:5" x14ac:dyDescent="0.2">
      <c r="A6" s="1">
        <v>45745</v>
      </c>
      <c r="B6" s="2" t="s">
        <v>4</v>
      </c>
      <c r="D6" s="2">
        <v>30</v>
      </c>
      <c r="E6" s="2">
        <v>18.7</v>
      </c>
    </row>
    <row r="7" spans="1:5" x14ac:dyDescent="0.2">
      <c r="A7" s="1">
        <v>45749</v>
      </c>
      <c r="B7" s="2" t="s">
        <v>4</v>
      </c>
      <c r="D7" s="2">
        <v>10</v>
      </c>
      <c r="E7" s="2">
        <v>6.3</v>
      </c>
    </row>
    <row r="8" spans="1:5" x14ac:dyDescent="0.2">
      <c r="A8" s="1">
        <v>45754</v>
      </c>
      <c r="B8" s="2" t="s">
        <v>4</v>
      </c>
      <c r="D8" s="2">
        <v>29</v>
      </c>
      <c r="E8" s="2">
        <v>18.399999999999999</v>
      </c>
    </row>
    <row r="9" spans="1:5" x14ac:dyDescent="0.2">
      <c r="A9" s="1">
        <v>45761</v>
      </c>
      <c r="B9" s="2" t="s">
        <v>4</v>
      </c>
      <c r="D9" s="2">
        <v>32</v>
      </c>
      <c r="E9" s="2">
        <v>20.399999999999999</v>
      </c>
    </row>
    <row r="10" spans="1:5" x14ac:dyDescent="0.2">
      <c r="A10" s="1">
        <v>45768</v>
      </c>
      <c r="B10" s="2" t="s">
        <v>4</v>
      </c>
      <c r="D10" s="2">
        <v>30</v>
      </c>
      <c r="E10" s="2">
        <v>20.9</v>
      </c>
    </row>
    <row r="11" spans="1:5" x14ac:dyDescent="0.2">
      <c r="A11" s="1">
        <v>45720</v>
      </c>
      <c r="B11" s="2" t="s">
        <v>5</v>
      </c>
      <c r="D11" s="2">
        <v>32</v>
      </c>
      <c r="E11" s="4">
        <f t="shared" ref="E11:E17" si="0">((D11*20*2)/1.06)/60</f>
        <v>20.125786163522012</v>
      </c>
    </row>
    <row r="12" spans="1:5" x14ac:dyDescent="0.2">
      <c r="A12" s="1">
        <v>45733</v>
      </c>
      <c r="B12" s="2" t="s">
        <v>5</v>
      </c>
      <c r="D12" s="2">
        <v>30</v>
      </c>
      <c r="E12" s="4">
        <f t="shared" si="0"/>
        <v>18.867924528301888</v>
      </c>
    </row>
    <row r="13" spans="1:5" x14ac:dyDescent="0.2">
      <c r="A13" s="1">
        <v>45744</v>
      </c>
      <c r="B13" s="2" t="s">
        <v>5</v>
      </c>
      <c r="D13" s="2">
        <v>30</v>
      </c>
      <c r="E13" s="4">
        <f t="shared" si="0"/>
        <v>18.867924528301888</v>
      </c>
    </row>
    <row r="14" spans="1:5" x14ac:dyDescent="0.2">
      <c r="A14" s="1">
        <v>45749</v>
      </c>
      <c r="B14" s="2" t="s">
        <v>5</v>
      </c>
      <c r="D14" s="2">
        <v>30</v>
      </c>
      <c r="E14" s="4">
        <f t="shared" si="0"/>
        <v>18.867924528301888</v>
      </c>
    </row>
    <row r="15" spans="1:5" x14ac:dyDescent="0.2">
      <c r="A15" s="1">
        <v>45758</v>
      </c>
      <c r="B15" s="2" t="s">
        <v>5</v>
      </c>
      <c r="D15" s="2">
        <v>30</v>
      </c>
      <c r="E15" s="4">
        <f t="shared" si="0"/>
        <v>18.867924528301888</v>
      </c>
    </row>
    <row r="16" spans="1:5" x14ac:dyDescent="0.2">
      <c r="A16" s="1">
        <v>45765</v>
      </c>
      <c r="B16" s="2" t="s">
        <v>5</v>
      </c>
      <c r="D16" s="2">
        <v>30</v>
      </c>
      <c r="E16" s="4">
        <f t="shared" si="0"/>
        <v>18.867924528301888</v>
      </c>
    </row>
    <row r="17" spans="1:5" x14ac:dyDescent="0.2">
      <c r="A17" s="1">
        <v>45769</v>
      </c>
      <c r="B17" s="2" t="s">
        <v>5</v>
      </c>
      <c r="D17" s="2">
        <v>30</v>
      </c>
      <c r="E17" s="4">
        <f t="shared" si="0"/>
        <v>18.867924528301888</v>
      </c>
    </row>
    <row r="18" spans="1:5" x14ac:dyDescent="0.2">
      <c r="A18" s="1">
        <v>45712</v>
      </c>
      <c r="B18" s="2">
        <v>2</v>
      </c>
      <c r="C18" s="2">
        <v>21.51</v>
      </c>
      <c r="D18" s="2">
        <v>29</v>
      </c>
      <c r="E18" s="4">
        <f t="shared" ref="E18:E26" si="1">((D18*20*2)/1.06)/60</f>
        <v>18.238993710691823</v>
      </c>
    </row>
    <row r="19" spans="1:5" x14ac:dyDescent="0.2">
      <c r="A19" s="1">
        <v>45712</v>
      </c>
      <c r="B19" s="2">
        <v>4</v>
      </c>
      <c r="C19" s="2">
        <v>21.23</v>
      </c>
      <c r="D19" s="2">
        <v>30</v>
      </c>
      <c r="E19" s="4">
        <f t="shared" si="1"/>
        <v>18.867924528301888</v>
      </c>
    </row>
    <row r="20" spans="1:5" x14ac:dyDescent="0.2">
      <c r="A20" s="1">
        <v>45712</v>
      </c>
      <c r="B20" s="2">
        <v>10</v>
      </c>
      <c r="C20" s="2">
        <v>20.079999999999998</v>
      </c>
      <c r="D20" s="2">
        <v>37</v>
      </c>
      <c r="E20" s="4">
        <f t="shared" si="1"/>
        <v>23.270440251572325</v>
      </c>
    </row>
    <row r="21" spans="1:5" x14ac:dyDescent="0.2">
      <c r="A21" s="1">
        <v>45712</v>
      </c>
      <c r="B21" s="2">
        <v>11</v>
      </c>
      <c r="C21" s="2">
        <v>21.15</v>
      </c>
      <c r="D21" s="2">
        <v>31</v>
      </c>
      <c r="E21" s="4">
        <f t="shared" si="1"/>
        <v>19.49685534591195</v>
      </c>
    </row>
    <row r="22" spans="1:5" x14ac:dyDescent="0.2">
      <c r="A22" s="1">
        <v>45712</v>
      </c>
      <c r="B22" s="2">
        <v>13</v>
      </c>
      <c r="C22" s="2">
        <v>21.92</v>
      </c>
      <c r="D22" s="2">
        <v>26</v>
      </c>
      <c r="E22" s="4">
        <f t="shared" si="1"/>
        <v>16.352201257861633</v>
      </c>
    </row>
    <row r="23" spans="1:5" x14ac:dyDescent="0.2">
      <c r="A23" s="1">
        <v>45712</v>
      </c>
      <c r="B23" s="2">
        <v>18</v>
      </c>
      <c r="C23" s="2">
        <v>22.02</v>
      </c>
      <c r="D23" s="2">
        <v>35</v>
      </c>
      <c r="E23" s="4">
        <f t="shared" si="1"/>
        <v>22.012578616352201</v>
      </c>
    </row>
    <row r="24" spans="1:5" x14ac:dyDescent="0.2">
      <c r="A24" s="1">
        <v>45733</v>
      </c>
      <c r="B24" s="2">
        <v>2</v>
      </c>
      <c r="D24" s="2">
        <v>39</v>
      </c>
      <c r="E24" s="4">
        <f t="shared" si="1"/>
        <v>24.528301886792452</v>
      </c>
    </row>
    <row r="25" spans="1:5" x14ac:dyDescent="0.2">
      <c r="A25" s="1">
        <v>45733</v>
      </c>
      <c r="B25" s="2">
        <v>10</v>
      </c>
      <c r="D25" s="2">
        <v>30</v>
      </c>
      <c r="E25" s="4">
        <f t="shared" si="1"/>
        <v>18.867924528301888</v>
      </c>
    </row>
    <row r="26" spans="1:5" x14ac:dyDescent="0.2">
      <c r="A26" s="1">
        <v>45733</v>
      </c>
      <c r="B26" s="2">
        <v>13</v>
      </c>
      <c r="D26" s="2">
        <v>28</v>
      </c>
      <c r="E26" s="4">
        <f t="shared" si="1"/>
        <v>17.610062893081761</v>
      </c>
    </row>
    <row r="27" spans="1:5" x14ac:dyDescent="0.2">
      <c r="A27" s="1">
        <v>45735</v>
      </c>
      <c r="B27" s="2">
        <v>4</v>
      </c>
      <c r="C27" s="2">
        <v>21.7</v>
      </c>
      <c r="D27" s="2">
        <v>28</v>
      </c>
      <c r="E27" s="2">
        <v>17.36</v>
      </c>
    </row>
    <row r="28" spans="1:5" x14ac:dyDescent="0.2">
      <c r="A28" s="1">
        <v>45735</v>
      </c>
      <c r="B28" s="2">
        <v>11</v>
      </c>
      <c r="C28" s="2">
        <v>21.4</v>
      </c>
      <c r="D28" s="2">
        <v>29</v>
      </c>
      <c r="E28" s="2">
        <v>18.420000000000002</v>
      </c>
    </row>
    <row r="29" spans="1:5" x14ac:dyDescent="0.2">
      <c r="A29" s="1">
        <v>45735</v>
      </c>
      <c r="B29" s="2">
        <v>18</v>
      </c>
      <c r="C29" s="2">
        <v>21.5</v>
      </c>
      <c r="D29" s="2">
        <v>29</v>
      </c>
      <c r="E29" s="2">
        <v>18.07</v>
      </c>
    </row>
    <row r="30" spans="1:5" x14ac:dyDescent="0.2">
      <c r="A30" s="1">
        <v>45742</v>
      </c>
      <c r="B30" s="2">
        <v>2</v>
      </c>
      <c r="C30" s="2">
        <v>14.7</v>
      </c>
      <c r="D30" s="2">
        <v>67</v>
      </c>
      <c r="E30" s="2">
        <v>42.07</v>
      </c>
    </row>
    <row r="31" spans="1:5" x14ac:dyDescent="0.2">
      <c r="A31" s="1">
        <v>45742</v>
      </c>
      <c r="B31" s="2">
        <v>4</v>
      </c>
      <c r="C31" s="2">
        <v>21.1</v>
      </c>
      <c r="D31" s="2">
        <v>31</v>
      </c>
      <c r="E31" s="2">
        <v>19.48</v>
      </c>
    </row>
    <row r="32" spans="1:5" x14ac:dyDescent="0.2">
      <c r="A32" s="1">
        <v>45742</v>
      </c>
      <c r="B32" s="2">
        <v>10</v>
      </c>
      <c r="C32" s="2">
        <v>19.3</v>
      </c>
      <c r="D32" s="2">
        <v>41</v>
      </c>
      <c r="E32" s="2">
        <v>25.84</v>
      </c>
    </row>
    <row r="33" spans="1:5" x14ac:dyDescent="0.2">
      <c r="A33" s="1">
        <v>45742</v>
      </c>
      <c r="B33" s="2">
        <v>11</v>
      </c>
      <c r="C33" s="2">
        <v>19.8</v>
      </c>
      <c r="D33" s="2">
        <v>38</v>
      </c>
      <c r="E33" s="2">
        <v>24.07</v>
      </c>
    </row>
    <row r="34" spans="1:5" x14ac:dyDescent="0.2">
      <c r="A34" s="1">
        <v>45742</v>
      </c>
      <c r="B34" s="2">
        <v>13</v>
      </c>
      <c r="C34" s="2">
        <v>18.399999999999999</v>
      </c>
      <c r="D34" s="2">
        <v>46</v>
      </c>
      <c r="E34" s="2">
        <v>29.01</v>
      </c>
    </row>
    <row r="35" spans="1:5" x14ac:dyDescent="0.2">
      <c r="A35" s="1">
        <v>45742</v>
      </c>
      <c r="B35" s="2">
        <v>18</v>
      </c>
      <c r="C35" s="2">
        <v>19.600000000000001</v>
      </c>
      <c r="D35" s="2">
        <v>39</v>
      </c>
      <c r="E35" s="2">
        <v>24.78</v>
      </c>
    </row>
    <row r="36" spans="1:5" x14ac:dyDescent="0.2">
      <c r="A36" s="1">
        <v>45749</v>
      </c>
      <c r="B36" s="2">
        <v>2</v>
      </c>
      <c r="C36" s="2">
        <v>15.27</v>
      </c>
      <c r="D36" s="2">
        <v>64</v>
      </c>
      <c r="E36" s="2">
        <v>40.06</v>
      </c>
    </row>
    <row r="37" spans="1:5" x14ac:dyDescent="0.2">
      <c r="A37" s="1">
        <v>45749</v>
      </c>
      <c r="B37" s="2">
        <v>4</v>
      </c>
      <c r="C37" s="2">
        <v>20.29</v>
      </c>
      <c r="D37" s="2">
        <v>36</v>
      </c>
      <c r="E37" s="2">
        <v>22.34</v>
      </c>
    </row>
    <row r="38" spans="1:5" x14ac:dyDescent="0.2">
      <c r="A38" s="1">
        <v>45749</v>
      </c>
      <c r="B38" s="2">
        <v>10</v>
      </c>
      <c r="C38" s="2">
        <v>18.73</v>
      </c>
      <c r="D38" s="2">
        <v>44</v>
      </c>
      <c r="E38" s="2">
        <v>27.85</v>
      </c>
    </row>
    <row r="39" spans="1:5" x14ac:dyDescent="0.2">
      <c r="A39" s="1">
        <v>45749</v>
      </c>
      <c r="B39" s="2">
        <v>11</v>
      </c>
      <c r="C39" s="2">
        <v>20.260000000000002</v>
      </c>
      <c r="D39" s="2">
        <v>36</v>
      </c>
      <c r="E39" s="2">
        <v>22.45</v>
      </c>
    </row>
    <row r="40" spans="1:5" x14ac:dyDescent="0.2">
      <c r="A40" s="1">
        <v>45749</v>
      </c>
      <c r="B40" s="2">
        <v>13</v>
      </c>
      <c r="C40" s="2">
        <v>17.55</v>
      </c>
      <c r="D40" s="2">
        <v>51</v>
      </c>
      <c r="E40" s="2">
        <v>32.01</v>
      </c>
    </row>
    <row r="41" spans="1:5" x14ac:dyDescent="0.2">
      <c r="A41" s="1">
        <v>45749</v>
      </c>
      <c r="B41" s="2">
        <v>18</v>
      </c>
      <c r="C41" s="2">
        <v>21.01</v>
      </c>
      <c r="D41" s="2">
        <v>32</v>
      </c>
      <c r="E41" s="2">
        <v>19.8</v>
      </c>
    </row>
    <row r="42" spans="1:5" x14ac:dyDescent="0.2">
      <c r="A42" s="1">
        <v>45754</v>
      </c>
      <c r="B42" s="2">
        <v>2</v>
      </c>
      <c r="C42" s="2">
        <v>15.56</v>
      </c>
      <c r="D42" s="2">
        <v>62</v>
      </c>
      <c r="E42" s="2">
        <v>39.04</v>
      </c>
    </row>
    <row r="43" spans="1:5" x14ac:dyDescent="0.2">
      <c r="A43" s="1">
        <v>45754</v>
      </c>
      <c r="B43" s="2">
        <v>4</v>
      </c>
      <c r="C43" s="2">
        <v>20.43</v>
      </c>
      <c r="D43" s="2">
        <v>35</v>
      </c>
      <c r="E43" s="2">
        <v>21.85</v>
      </c>
    </row>
    <row r="44" spans="1:5" x14ac:dyDescent="0.2">
      <c r="A44" s="1">
        <v>45754</v>
      </c>
      <c r="B44" s="2">
        <v>10</v>
      </c>
      <c r="C44" s="2">
        <v>20.28</v>
      </c>
      <c r="D44" s="2">
        <v>36</v>
      </c>
      <c r="E44" s="2">
        <v>22.38</v>
      </c>
    </row>
    <row r="45" spans="1:5" x14ac:dyDescent="0.2">
      <c r="A45" s="1">
        <v>45754</v>
      </c>
      <c r="B45" s="2">
        <v>11</v>
      </c>
      <c r="C45" s="2">
        <v>21.44</v>
      </c>
      <c r="D45" s="2">
        <v>29</v>
      </c>
      <c r="E45" s="2">
        <v>18.28</v>
      </c>
    </row>
    <row r="46" spans="1:5" x14ac:dyDescent="0.2">
      <c r="A46" s="1">
        <v>45754</v>
      </c>
      <c r="B46" s="2">
        <v>13</v>
      </c>
      <c r="C46" s="2">
        <v>20.49</v>
      </c>
      <c r="D46" s="2">
        <v>34</v>
      </c>
      <c r="E46" s="2">
        <v>21.64</v>
      </c>
    </row>
    <row r="47" spans="1:5" x14ac:dyDescent="0.2">
      <c r="A47" s="1">
        <v>45754</v>
      </c>
      <c r="B47" s="2">
        <v>18</v>
      </c>
      <c r="C47" s="2">
        <v>21.41</v>
      </c>
      <c r="D47" s="2">
        <v>29</v>
      </c>
      <c r="E47" s="2">
        <v>18.39</v>
      </c>
    </row>
    <row r="48" spans="1:5" x14ac:dyDescent="0.2">
      <c r="A48" s="1">
        <v>45758</v>
      </c>
      <c r="B48" s="2">
        <v>2</v>
      </c>
      <c r="C48" s="2">
        <v>16.399999999999999</v>
      </c>
      <c r="D48" s="2">
        <v>57</v>
      </c>
      <c r="E48" s="2">
        <v>36.07</v>
      </c>
    </row>
    <row r="49" spans="1:5" x14ac:dyDescent="0.2">
      <c r="A49" s="1">
        <v>45758</v>
      </c>
      <c r="B49" s="2">
        <v>4</v>
      </c>
      <c r="C49" s="2">
        <v>19.93</v>
      </c>
      <c r="D49" s="2">
        <v>38</v>
      </c>
      <c r="E49" s="2">
        <v>23.61</v>
      </c>
    </row>
    <row r="50" spans="1:5" x14ac:dyDescent="0.2">
      <c r="A50" s="1">
        <v>45758</v>
      </c>
      <c r="B50" s="2">
        <v>10</v>
      </c>
      <c r="C50" s="2">
        <v>20.02</v>
      </c>
      <c r="D50" s="2">
        <v>37</v>
      </c>
      <c r="E50" s="2">
        <v>23.29</v>
      </c>
    </row>
    <row r="51" spans="1:5" x14ac:dyDescent="0.2">
      <c r="A51" s="1">
        <v>45758</v>
      </c>
      <c r="B51" s="2">
        <v>11</v>
      </c>
      <c r="C51" s="2">
        <v>21.79</v>
      </c>
      <c r="D51" s="2">
        <v>27</v>
      </c>
      <c r="E51" s="2">
        <v>17.05</v>
      </c>
    </row>
    <row r="52" spans="1:5" x14ac:dyDescent="0.2">
      <c r="A52" s="1">
        <v>45758</v>
      </c>
      <c r="B52" s="2">
        <v>13</v>
      </c>
      <c r="C52" s="2">
        <v>19.59</v>
      </c>
      <c r="D52" s="2">
        <v>40</v>
      </c>
      <c r="E52" s="2">
        <v>24.81</v>
      </c>
    </row>
    <row r="53" spans="1:5" x14ac:dyDescent="0.2">
      <c r="A53" s="1">
        <v>45758</v>
      </c>
      <c r="B53" s="2">
        <v>18</v>
      </c>
      <c r="C53" s="2">
        <v>21.81</v>
      </c>
      <c r="D53" s="2">
        <v>27</v>
      </c>
      <c r="E53" s="2">
        <v>16.98</v>
      </c>
    </row>
    <row r="54" spans="1:5" x14ac:dyDescent="0.2">
      <c r="A54" s="1">
        <v>45768</v>
      </c>
      <c r="B54" s="2">
        <v>2</v>
      </c>
      <c r="C54" s="2">
        <v>16.600000000000001</v>
      </c>
      <c r="D54" s="2">
        <v>56</v>
      </c>
      <c r="E54" s="2">
        <v>35.36</v>
      </c>
    </row>
    <row r="55" spans="1:5" x14ac:dyDescent="0.2">
      <c r="A55" s="1">
        <v>45768</v>
      </c>
      <c r="B55" s="2">
        <v>4</v>
      </c>
      <c r="C55" s="2">
        <v>23.04</v>
      </c>
      <c r="D55" s="2">
        <v>30</v>
      </c>
      <c r="E55" s="2">
        <v>18.57</v>
      </c>
    </row>
    <row r="56" spans="1:5" x14ac:dyDescent="0.2">
      <c r="A56" s="1">
        <v>45768</v>
      </c>
      <c r="B56" s="2">
        <v>10</v>
      </c>
      <c r="C56" s="2">
        <v>21.43</v>
      </c>
      <c r="D56" s="2">
        <v>30</v>
      </c>
      <c r="E56" s="2">
        <v>18.57</v>
      </c>
    </row>
    <row r="57" spans="1:5" x14ac:dyDescent="0.2">
      <c r="A57" s="1">
        <v>45768</v>
      </c>
      <c r="B57" s="2">
        <v>11</v>
      </c>
      <c r="C57" s="2">
        <v>22.82</v>
      </c>
      <c r="D57" s="2">
        <v>30</v>
      </c>
      <c r="E57" s="2">
        <v>18.57</v>
      </c>
    </row>
    <row r="58" spans="1:5" x14ac:dyDescent="0.2">
      <c r="A58" s="1">
        <v>45768</v>
      </c>
      <c r="B58" s="2">
        <v>13</v>
      </c>
      <c r="C58" s="2">
        <v>22.97</v>
      </c>
      <c r="D58" s="2">
        <v>30</v>
      </c>
      <c r="E58" s="2">
        <v>18.57</v>
      </c>
    </row>
    <row r="59" spans="1:5" x14ac:dyDescent="0.2">
      <c r="A59" s="1">
        <v>45768</v>
      </c>
      <c r="B59" s="2">
        <v>18</v>
      </c>
      <c r="C59" s="2">
        <v>22.09</v>
      </c>
      <c r="D59" s="2">
        <v>30</v>
      </c>
      <c r="E59" s="2">
        <v>18.57</v>
      </c>
    </row>
  </sheetData>
  <autoFilter ref="A1:E1" xr:uid="{AD9A6AC2-97DE-4377-B165-E374984B2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Irrigation</vt:lpstr>
      <vt:lpstr>Irrigation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2025-08-18T08:12:07Z</dcterms:created>
  <dcterms:modified xsi:type="dcterms:W3CDTF">2025-08-28T16:10:43Z</dcterms:modified>
</cp:coreProperties>
</file>